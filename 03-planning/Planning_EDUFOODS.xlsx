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" sheetId="1" state="visible" r:id="rId3"/>
    <sheet name="Indicateurs" sheetId="2" state="visible" r:id="rId4"/>
    <sheet name="Paramèt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<sst xmlns="http://schemas.openxmlformats.org/spreadsheetml/2006/main" count="138" uniqueCount="125">
  <si>
    <t xml:space="preserve">EDUFOODS — Planning du projet</t>
  </si>
  <si>
    <t xml:space="preserve">Du lundi 28/09/2026 au vendredi 04/12/2026 (10 semaines, un jour ouvré par colonne). Cellules en bleu = à modifier (début, durée, avancement). Fin et statut se calculent seuls.</t>
  </si>
  <si>
    <t xml:space="preserve">S1 — 28/09</t>
  </si>
  <si>
    <t xml:space="preserve">S2 — 05/10</t>
  </si>
  <si>
    <t xml:space="preserve">S3 — 12/10</t>
  </si>
  <si>
    <t xml:space="preserve">S4 — 19/10</t>
  </si>
  <si>
    <t xml:space="preserve">S5 — 26/10</t>
  </si>
  <si>
    <t xml:space="preserve">S6 — 02/11</t>
  </si>
  <si>
    <t xml:space="preserve">S7 — 09/11</t>
  </si>
  <si>
    <t xml:space="preserve">S8 — 16/11</t>
  </si>
  <si>
    <t xml:space="preserve">S9 — 23/11</t>
  </si>
  <si>
    <t xml:space="preserve">S10 — 30/11</t>
  </si>
  <si>
    <t xml:space="preserve">N°</t>
  </si>
  <si>
    <t xml:space="preserve">Tâche</t>
  </si>
  <si>
    <t xml:space="preserve">Contrainte n°</t>
  </si>
  <si>
    <t xml:space="preserve">Début</t>
  </si>
  <si>
    <t xml:space="preserve">Durée (j ouvrés)</t>
  </si>
  <si>
    <t xml:space="preserve">Fin</t>
  </si>
  <si>
    <t xml:space="preserve">Avancement</t>
  </si>
  <si>
    <t xml:space="preserve">Statut</t>
  </si>
  <si>
    <t xml:space="preserve">ANALYSE ET CADRAGE</t>
  </si>
  <si>
    <t xml:space="preserve">1.1</t>
  </si>
  <si>
    <t xml:space="preserve">Rédaction du cahier des charges</t>
  </si>
  <si>
    <t xml:space="preserve">—</t>
  </si>
  <si>
    <t xml:space="preserve">1.2</t>
  </si>
  <si>
    <t xml:space="preserve">Schéma d'architecture du SI</t>
  </si>
  <si>
    <t xml:space="preserve">1</t>
  </si>
  <si>
    <t xml:space="preserve">1.3</t>
  </si>
  <si>
    <t xml:space="preserve">Schéma réseau</t>
  </si>
  <si>
    <t xml:space="preserve">1.4</t>
  </si>
  <si>
    <t xml:space="preserve">Planning du projet</t>
  </si>
  <si>
    <t xml:space="preserve">14</t>
  </si>
  <si>
    <t xml:space="preserve">1.5</t>
  </si>
  <si>
    <t xml:space="preserve">Recensement des ressources numériques</t>
  </si>
  <si>
    <t xml:space="preserve">2</t>
  </si>
  <si>
    <t xml:space="preserve">1.6</t>
  </si>
  <si>
    <t xml:space="preserve">Choix techniques et justification</t>
  </si>
  <si>
    <t xml:space="preserve">1.7</t>
  </si>
  <si>
    <t xml:space="preserve">Mise en place de l'outil de gestion de projet</t>
  </si>
  <si>
    <t xml:space="preserve">INFRASTRUCTURE</t>
  </si>
  <si>
    <t xml:space="preserve">2.1</t>
  </si>
  <si>
    <t xml:space="preserve">Installation des serveurs / hyperviseur</t>
  </si>
  <si>
    <t xml:space="preserve">2.2</t>
  </si>
  <si>
    <t xml:space="preserve">Configuration réseau (VLAN, routage)</t>
  </si>
  <si>
    <t xml:space="preserve">2.3</t>
  </si>
  <si>
    <t xml:space="preserve">Configuration du pare-feu et de la DMZ</t>
  </si>
  <si>
    <t xml:space="preserve">1, 9</t>
  </si>
  <si>
    <t xml:space="preserve">2.4</t>
  </si>
  <si>
    <t xml:space="preserve">Annuaire, DNS, DHCP</t>
  </si>
  <si>
    <t xml:space="preserve">6</t>
  </si>
  <si>
    <t xml:space="preserve">2.5</t>
  </si>
  <si>
    <t xml:space="preserve">Comptes, groupes et droits d'accès</t>
  </si>
  <si>
    <t xml:space="preserve">2.6</t>
  </si>
  <si>
    <t xml:space="preserve">Partage de fichiers</t>
  </si>
  <si>
    <t xml:space="preserve">SERVICES ET APPLICATION WEB</t>
  </si>
  <si>
    <t xml:space="preserve">3.1</t>
  </si>
  <si>
    <t xml:space="preserve">Conception de la base de données</t>
  </si>
  <si>
    <t xml:space="preserve">4</t>
  </si>
  <si>
    <t xml:space="preserve">3.2</t>
  </si>
  <si>
    <t xml:space="preserve">Développement de l'application web (PWA)</t>
  </si>
  <si>
    <t xml:space="preserve">3.3</t>
  </si>
  <si>
    <t xml:space="preserve">Site vitrine</t>
  </si>
  <si>
    <t xml:space="preserve">3</t>
  </si>
  <si>
    <t xml:space="preserve">3.4</t>
  </si>
  <si>
    <t xml:space="preserve">Outil de gestion des tickets (ITIL)</t>
  </si>
  <si>
    <t xml:space="preserve">5, 10, 11, 12</t>
  </si>
  <si>
    <t xml:space="preserve">3.5</t>
  </si>
  <si>
    <t xml:space="preserve">Catégories, priorités et procédures ITIL</t>
  </si>
  <si>
    <t xml:space="preserve">3.6</t>
  </si>
  <si>
    <t xml:space="preserve">Intégration Stripe et API cartographie</t>
  </si>
  <si>
    <t xml:space="preserve">SÉCURITÉ ET EXPLOITATION</t>
  </si>
  <si>
    <t xml:space="preserve">4.1</t>
  </si>
  <si>
    <t xml:space="preserve">Charte d'utilisation et règles de sécurité</t>
  </si>
  <si>
    <t xml:space="preserve">9</t>
  </si>
  <si>
    <t xml:space="preserve">4.2</t>
  </si>
  <si>
    <t xml:space="preserve">Sauvegarde + test de restauration</t>
  </si>
  <si>
    <t xml:space="preserve">8</t>
  </si>
  <si>
    <t xml:space="preserve">4.3</t>
  </si>
  <si>
    <t xml:space="preserve">Continuité de service + test de reprise</t>
  </si>
  <si>
    <t xml:space="preserve">7</t>
  </si>
  <si>
    <t xml:space="preserve">4.4</t>
  </si>
  <si>
    <t xml:space="preserve">Supervision des serveurs et services</t>
  </si>
  <si>
    <t xml:space="preserve">7, 11</t>
  </si>
  <si>
    <t xml:space="preserve">4.5</t>
  </si>
  <si>
    <t xml:space="preserve">Analyse du trafic (indicateurs)</t>
  </si>
  <si>
    <t xml:space="preserve">13</t>
  </si>
  <si>
    <t xml:space="preserve">TESTS ET MISE EN PRODUCTION</t>
  </si>
  <si>
    <t xml:space="preserve">5.1</t>
  </si>
  <si>
    <t xml:space="preserve">Plan de tests et recette</t>
  </si>
  <si>
    <t xml:space="preserve">16</t>
  </si>
  <si>
    <t xml:space="preserve">5.2</t>
  </si>
  <si>
    <t xml:space="preserve">Mise en production</t>
  </si>
  <si>
    <t xml:space="preserve">17</t>
  </si>
  <si>
    <t xml:space="preserve">5.3</t>
  </si>
  <si>
    <t xml:space="preserve">Indicateurs de suivi du projet</t>
  </si>
  <si>
    <t xml:space="preserve">15</t>
  </si>
  <si>
    <t xml:space="preserve">ACCOMPAGNEMENT ET CLÔTURE</t>
  </si>
  <si>
    <t xml:space="preserve">6.1</t>
  </si>
  <si>
    <t xml:space="preserve">Supports et guides utilisateurs</t>
  </si>
  <si>
    <t xml:space="preserve">18</t>
  </si>
  <si>
    <t xml:space="preserve">6.2</t>
  </si>
  <si>
    <t xml:space="preserve">Documentation technique finale</t>
  </si>
  <si>
    <t xml:space="preserve">6.3</t>
  </si>
  <si>
    <t xml:space="preserve">Préparation de la soutenance</t>
  </si>
  <si>
    <t xml:space="preserve">Légende :</t>
  </si>
  <si>
    <t xml:space="preserve">Durée d'une phase</t>
  </si>
  <si>
    <t xml:space="preserve">Tâche à faire / en cours</t>
  </si>
  <si>
    <t xml:space="preserve">Tâche terminée</t>
  </si>
  <si>
    <t xml:space="preserve">Jour férié</t>
  </si>
  <si>
    <t xml:space="preserve">Nombre total de tâches</t>
  </si>
  <si>
    <t xml:space="preserve">Tâches terminées</t>
  </si>
  <si>
    <t xml:space="preserve">Tâches en cours</t>
  </si>
  <si>
    <t xml:space="preserve">Tâches à faire</t>
  </si>
  <si>
    <t xml:space="preserve">Tâches en retard (fin dépassée, non terminées)</t>
  </si>
  <si>
    <t xml:space="preserve">Avancement global (pondéré par la durée)</t>
  </si>
  <si>
    <t xml:space="preserve">Date de fin prévue du projet</t>
  </si>
  <si>
    <t xml:space="preserve">Contraintes obligatoires couvertes</t>
  </si>
  <si>
    <t xml:space="preserve">18 / 18</t>
  </si>
  <si>
    <t xml:space="preserve">Paramètres</t>
  </si>
  <si>
    <t xml:space="preserve">Jours fériés (exclus du calcul des jours ouvrés)</t>
  </si>
  <si>
    <t xml:space="preserve">Date</t>
  </si>
  <si>
    <t xml:space="preserve">Jour</t>
  </si>
  <si>
    <t xml:space="preserve">Toussaint</t>
  </si>
  <si>
    <t xml:space="preserve">Armistice</t>
  </si>
  <si>
    <t xml:space="preserve">Noël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</si>
</sst>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"/>
    <numFmt numFmtId="166" formatCode="dd/mm/yyyy"/>
    <numFmt numFmtId="167" formatCode="0%"/>
    <numFmt numFmtId="168" formatCode="0"/>
    <numFmt numFmtId="169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9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1F5C9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5C99"/>
        <bgColor rgb="FF333399"/>
      </patternFill>
    </fill>
    <fill>
      <patternFill patternType="solid">
        <fgColor rgb="FF129ED9"/>
        <bgColor rgb="FF008080"/>
      </patternFill>
    </fill>
    <fill>
      <patternFill patternType="solid">
        <fgColor rgb="FFDDEBF7"/>
        <bgColor rgb="FFD9D9D9"/>
      </patternFill>
    </fill>
    <fill>
      <patternFill patternType="solid">
        <fgColor rgb="FF9DC3E6"/>
        <bgColor rgb="FFBFBFBF"/>
      </patternFill>
    </fill>
    <fill>
      <patternFill patternType="solid">
        <fgColor rgb="FF70AD47"/>
        <bgColor rgb="FF99CC00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9D9D9"/>
        </patternFill>
      </fill>
    </dxf>
    <dxf>
      <fill>
        <patternFill>
          <bgColor rgb="FF1F5C99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E67E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9ED9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1F5C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00"/>
      <rgbColor rgb="FF666666"/>
      <rgbColor rgb="FF70AD47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58" min="9" style="0" width="3.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I3" s="3" t="s">
        <v>2</v>
      </c>
      <c r="J3" s="3"/>
      <c r="K3" s="3"/>
      <c r="L3" s="3"/>
      <c r="M3" s="3"/>
      <c r="N3" s="3" t="s">
        <v>3</v>
      </c>
      <c r="O3" s="3"/>
      <c r="P3" s="3"/>
      <c r="Q3" s="3"/>
      <c r="R3" s="3"/>
      <c r="S3" s="3" t="s">
        <v>4</v>
      </c>
      <c r="T3" s="3"/>
      <c r="U3" s="3"/>
      <c r="V3" s="3"/>
      <c r="W3" s="3"/>
      <c r="X3" s="3" t="s">
        <v>5</v>
      </c>
      <c r="Y3" s="3"/>
      <c r="Z3" s="3"/>
      <c r="AA3" s="3"/>
      <c r="AB3" s="3"/>
      <c r="AC3" s="3" t="s">
        <v>6</v>
      </c>
      <c r="AD3" s="3"/>
      <c r="AE3" s="3"/>
      <c r="AF3" s="3"/>
      <c r="AG3" s="3"/>
      <c r="AH3" s="3" t="s">
        <v>7</v>
      </c>
      <c r="AI3" s="3"/>
      <c r="AJ3" s="3"/>
      <c r="AK3" s="3"/>
      <c r="AL3" s="3"/>
      <c r="AM3" s="3" t="s">
        <v>8</v>
      </c>
      <c r="AN3" s="3"/>
      <c r="AO3" s="3"/>
      <c r="AP3" s="3"/>
      <c r="AQ3" s="3"/>
      <c r="AR3" s="3" t="s">
        <v>9</v>
      </c>
      <c r="AS3" s="3"/>
      <c r="AT3" s="3"/>
      <c r="AU3" s="3"/>
      <c r="AV3" s="3"/>
      <c r="AW3" s="3" t="s">
        <v>10</v>
      </c>
      <c r="AX3" s="3"/>
      <c r="AY3" s="3"/>
      <c r="AZ3" s="3"/>
      <c r="BA3" s="3"/>
      <c r="BB3" s="3" t="s">
        <v>11</v>
      </c>
      <c r="BC3" s="3"/>
      <c r="BD3" s="3"/>
      <c r="BE3" s="3"/>
      <c r="BF3" s="3"/>
    </row>
    <row r="4" customFormat="false" ht="30" hidden="false" customHeight="tru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5" t="n">
        <v>46293</v>
      </c>
      <c r="J4" s="5" t="n">
        <v>46294</v>
      </c>
      <c r="K4" s="5" t="n">
        <v>46295</v>
      </c>
      <c r="L4" s="5" t="n">
        <v>46296</v>
      </c>
      <c r="M4" s="5" t="n">
        <v>46297</v>
      </c>
      <c r="N4" s="5" t="n">
        <v>46300</v>
      </c>
      <c r="O4" s="5" t="n">
        <v>46301</v>
      </c>
      <c r="P4" s="5" t="n">
        <v>46302</v>
      </c>
      <c r="Q4" s="5" t="n">
        <v>46303</v>
      </c>
      <c r="R4" s="5" t="n">
        <v>46304</v>
      </c>
      <c r="S4" s="5" t="n">
        <v>46307</v>
      </c>
      <c r="T4" s="5" t="n">
        <v>46308</v>
      </c>
      <c r="U4" s="5" t="n">
        <v>46309</v>
      </c>
      <c r="V4" s="5" t="n">
        <v>46310</v>
      </c>
      <c r="W4" s="5" t="n">
        <v>46311</v>
      </c>
      <c r="X4" s="5" t="n">
        <v>46314</v>
      </c>
      <c r="Y4" s="5" t="n">
        <v>46315</v>
      </c>
      <c r="Z4" s="5" t="n">
        <v>46316</v>
      </c>
      <c r="AA4" s="5" t="n">
        <v>46317</v>
      </c>
      <c r="AB4" s="5" t="n">
        <v>46318</v>
      </c>
      <c r="AC4" s="5" t="n">
        <v>46321</v>
      </c>
      <c r="AD4" s="5" t="n">
        <v>46322</v>
      </c>
      <c r="AE4" s="5" t="n">
        <v>46323</v>
      </c>
      <c r="AF4" s="5" t="n">
        <v>46324</v>
      </c>
      <c r="AG4" s="5" t="n">
        <v>46325</v>
      </c>
      <c r="AH4" s="5" t="n">
        <v>46328</v>
      </c>
      <c r="AI4" s="5" t="n">
        <v>46329</v>
      </c>
      <c r="AJ4" s="5" t="n">
        <v>46330</v>
      </c>
      <c r="AK4" s="5" t="n">
        <v>46331</v>
      </c>
      <c r="AL4" s="5" t="n">
        <v>46332</v>
      </c>
      <c r="AM4" s="5" t="n">
        <v>46335</v>
      </c>
      <c r="AN4" s="5" t="n">
        <v>46336</v>
      </c>
      <c r="AO4" s="5" t="n">
        <v>46337</v>
      </c>
      <c r="AP4" s="5" t="n">
        <v>46338</v>
      </c>
      <c r="AQ4" s="5" t="n">
        <v>46339</v>
      </c>
      <c r="AR4" s="5" t="n">
        <v>46342</v>
      </c>
      <c r="AS4" s="5" t="n">
        <v>46343</v>
      </c>
      <c r="AT4" s="5" t="n">
        <v>46344</v>
      </c>
      <c r="AU4" s="5" t="n">
        <v>46345</v>
      </c>
      <c r="AV4" s="5" t="n">
        <v>46346</v>
      </c>
      <c r="AW4" s="5" t="n">
        <v>46349</v>
      </c>
      <c r="AX4" s="5" t="n">
        <v>46350</v>
      </c>
      <c r="AY4" s="5" t="n">
        <v>46351</v>
      </c>
      <c r="AZ4" s="5" t="n">
        <v>46352</v>
      </c>
      <c r="BA4" s="5" t="n">
        <v>46353</v>
      </c>
      <c r="BB4" s="5" t="n">
        <v>46356</v>
      </c>
      <c r="BC4" s="5" t="n">
        <v>46357</v>
      </c>
      <c r="BD4" s="5" t="n">
        <v>46358</v>
      </c>
      <c r="BE4" s="5" t="n">
        <v>46359</v>
      </c>
      <c r="BF4" s="5" t="n">
        <v>46360</v>
      </c>
    </row>
    <row r="5" customFormat="false" ht="15" hidden="false" customHeight="false" outlineLevel="0" collapsed="false">
      <c r="A5" s="6" t="n">
        <v>1</v>
      </c>
      <c r="B5" s="7" t="s">
        <v>20</v>
      </c>
      <c r="C5" s="6"/>
      <c r="D5" s="8" t="n">
        <f aca="false">MIN(D6:D12)</f>
        <v>46293</v>
      </c>
      <c r="E5" s="6" t="n">
        <f aca="false">NETWORKDAYS(D5,F5,Paramètres!$A$5:$A$10)</f>
        <v>8</v>
      </c>
      <c r="F5" s="8" t="n">
        <f aca="false">MAX(F6:F12)</f>
        <v>46302</v>
      </c>
      <c r="G5" s="9" t="n">
        <f aca="false">SUMPRODUCT(E6:E12,G6:G12)/SUM(E6:E12)</f>
        <v>0.533333333333333</v>
      </c>
      <c r="H5" s="6" t="str">
        <f aca="false">IF(G5=1,"Terminé",IF(G5&gt;0,"En cours","À faire"))</f>
        <v>En cours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customFormat="false" ht="15" hidden="false" customHeight="false" outlineLevel="0" collapsed="false">
      <c r="A6" s="11" t="s">
        <v>21</v>
      </c>
      <c r="B6" s="12" t="s">
        <v>22</v>
      </c>
      <c r="C6" s="11" t="s">
        <v>23</v>
      </c>
      <c r="D6" s="13" t="n">
        <v>46293</v>
      </c>
      <c r="E6" s="14" t="n">
        <v>3</v>
      </c>
      <c r="F6" s="15" t="n">
        <f aca="false">WORKDAY(D6,E6-1,Paramètres!$A$5:$A$10)</f>
        <v>46295</v>
      </c>
      <c r="G6" s="16" t="n">
        <v>1</v>
      </c>
      <c r="H6" s="11" t="str">
        <f aca="false">IF(G6=1,"Terminé",IF(G6&gt;0,"En cours","À faire"))</f>
        <v>Terminé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customFormat="false" ht="15" hidden="false" customHeight="false" outlineLevel="0" collapsed="false">
      <c r="A7" s="11" t="s">
        <v>24</v>
      </c>
      <c r="B7" s="12" t="s">
        <v>25</v>
      </c>
      <c r="C7" s="11" t="s">
        <v>26</v>
      </c>
      <c r="D7" s="13" t="n">
        <v>46295</v>
      </c>
      <c r="E7" s="14" t="n">
        <v>2</v>
      </c>
      <c r="F7" s="15" t="n">
        <f aca="false">WORKDAY(D7,E7-1,Paramètres!$A$5:$A$10)</f>
        <v>46296</v>
      </c>
      <c r="G7" s="16" t="n">
        <v>1</v>
      </c>
      <c r="H7" s="11" t="str">
        <f aca="false">IF(G7=1,"Terminé",IF(G7&gt;0,"En cours","À faire"))</f>
        <v>Terminé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customFormat="false" ht="15" hidden="false" customHeight="false" outlineLevel="0" collapsed="false">
      <c r="A8" s="11" t="s">
        <v>27</v>
      </c>
      <c r="B8" s="12" t="s">
        <v>28</v>
      </c>
      <c r="C8" s="11" t="s">
        <v>26</v>
      </c>
      <c r="D8" s="13" t="n">
        <v>46295</v>
      </c>
      <c r="E8" s="14" t="n">
        <v>2</v>
      </c>
      <c r="F8" s="15" t="n">
        <f aca="false">WORKDAY(D8,E8-1,Paramètres!$A$5:$A$10)</f>
        <v>46296</v>
      </c>
      <c r="G8" s="16" t="n">
        <v>1</v>
      </c>
      <c r="H8" s="11" t="str">
        <f aca="false">IF(G8=1,"Terminé",IF(G8&gt;0,"En cours","À faire"))</f>
        <v>Terminé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customFormat="false" ht="15" hidden="false" customHeight="false" outlineLevel="0" collapsed="false">
      <c r="A9" s="11" t="s">
        <v>29</v>
      </c>
      <c r="B9" s="12" t="s">
        <v>30</v>
      </c>
      <c r="C9" s="11" t="s">
        <v>31</v>
      </c>
      <c r="D9" s="13" t="n">
        <v>46296</v>
      </c>
      <c r="E9" s="14" t="n">
        <v>1</v>
      </c>
      <c r="F9" s="15" t="n">
        <f aca="false">WORKDAY(D9,E9-1,Paramètres!$A$5:$A$10)</f>
        <v>46296</v>
      </c>
      <c r="G9" s="16" t="n">
        <v>1</v>
      </c>
      <c r="H9" s="11" t="str">
        <f aca="false">IF(G9=1,"Terminé",IF(G9&gt;0,"En cours","À faire"))</f>
        <v>Terminé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customFormat="false" ht="15" hidden="false" customHeight="false" outlineLevel="0" collapsed="false">
      <c r="A10" s="11" t="s">
        <v>32</v>
      </c>
      <c r="B10" s="12" t="s">
        <v>33</v>
      </c>
      <c r="C10" s="11" t="s">
        <v>34</v>
      </c>
      <c r="D10" s="13" t="n">
        <v>46296</v>
      </c>
      <c r="E10" s="14" t="n">
        <v>3</v>
      </c>
      <c r="F10" s="15" t="n">
        <f aca="false">WORKDAY(D10,E10-1,Paramètres!$A$5:$A$10)</f>
        <v>46300</v>
      </c>
      <c r="G10" s="16" t="n">
        <v>0</v>
      </c>
      <c r="H10" s="11" t="str">
        <f aca="false">IF(G10=1,"Terminé",IF(G10&gt;0,"En cours","À faire"))</f>
        <v>À faire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customFormat="false" ht="15" hidden="false" customHeight="false" outlineLevel="0" collapsed="false">
      <c r="A11" s="11" t="s">
        <v>35</v>
      </c>
      <c r="B11" s="12" t="s">
        <v>36</v>
      </c>
      <c r="C11" s="11" t="s">
        <v>23</v>
      </c>
      <c r="D11" s="13" t="n">
        <v>46300</v>
      </c>
      <c r="E11" s="14" t="n">
        <v>3</v>
      </c>
      <c r="F11" s="15" t="n">
        <f aca="false">WORKDAY(D11,E11-1,Paramètres!$A$5:$A$10)</f>
        <v>46302</v>
      </c>
      <c r="G11" s="16" t="n">
        <v>0</v>
      </c>
      <c r="H11" s="11" t="str">
        <f aca="false">IF(G11=1,"Terminé",IF(G11&gt;0,"En cours","À faire"))</f>
        <v>À faire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customFormat="false" ht="15" hidden="false" customHeight="false" outlineLevel="0" collapsed="false">
      <c r="A12" s="11" t="s">
        <v>37</v>
      </c>
      <c r="B12" s="12" t="s">
        <v>38</v>
      </c>
      <c r="C12" s="11" t="s">
        <v>31</v>
      </c>
      <c r="D12" s="13" t="n">
        <v>46300</v>
      </c>
      <c r="E12" s="14" t="n">
        <v>1</v>
      </c>
      <c r="F12" s="15" t="n">
        <f aca="false">WORKDAY(D12,E12-1,Paramètres!$A$5:$A$10)</f>
        <v>46300</v>
      </c>
      <c r="G12" s="16" t="n">
        <v>0</v>
      </c>
      <c r="H12" s="11" t="str">
        <f aca="false">IF(G12=1,"Terminé",IF(G12&gt;0,"En cours","À faire"))</f>
        <v>À faire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customFormat="false" ht="15" hidden="false" customHeight="false" outlineLevel="0" collapsed="false">
      <c r="A13" s="6" t="n">
        <v>2</v>
      </c>
      <c r="B13" s="7" t="s">
        <v>39</v>
      </c>
      <c r="C13" s="6"/>
      <c r="D13" s="8" t="n">
        <f aca="false">MIN(D14:D19)</f>
        <v>46303</v>
      </c>
      <c r="E13" s="6" t="n">
        <f aca="false">NETWORKDAYS(D13,F13,Paramètres!$A$5:$A$10)</f>
        <v>14</v>
      </c>
      <c r="F13" s="8" t="n">
        <f aca="false">MAX(F14:F19)</f>
        <v>46322</v>
      </c>
      <c r="G13" s="9" t="n">
        <f aca="false">SUMPRODUCT(E14:E19,G14:G19)/SUM(E14:E19)</f>
        <v>0</v>
      </c>
      <c r="H13" s="6" t="str">
        <f aca="false">IF(G13=1,"Terminé",IF(G13&gt;0,"En cours","À faire"))</f>
        <v>À faire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</row>
    <row r="14" customFormat="false" ht="15" hidden="false" customHeight="false" outlineLevel="0" collapsed="false">
      <c r="A14" s="11" t="s">
        <v>40</v>
      </c>
      <c r="B14" s="12" t="s">
        <v>41</v>
      </c>
      <c r="C14" s="11" t="s">
        <v>26</v>
      </c>
      <c r="D14" s="13" t="n">
        <v>46303</v>
      </c>
      <c r="E14" s="14" t="n">
        <v>3</v>
      </c>
      <c r="F14" s="15" t="n">
        <f aca="false">WORKDAY(D14,E14-1,Paramètres!$A$5:$A$10)</f>
        <v>46307</v>
      </c>
      <c r="G14" s="16" t="n">
        <v>0</v>
      </c>
      <c r="H14" s="11" t="str">
        <f aca="false">IF(G14=1,"Terminé",IF(G14&gt;0,"En cours","À faire"))</f>
        <v>À faire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customFormat="false" ht="15" hidden="false" customHeight="false" outlineLevel="0" collapsed="false">
      <c r="A15" s="11" t="s">
        <v>42</v>
      </c>
      <c r="B15" s="12" t="s">
        <v>43</v>
      </c>
      <c r="C15" s="11" t="s">
        <v>26</v>
      </c>
      <c r="D15" s="13" t="n">
        <v>46307</v>
      </c>
      <c r="E15" s="14" t="n">
        <v>3</v>
      </c>
      <c r="F15" s="15" t="n">
        <f aca="false">WORKDAY(D15,E15-1,Paramètres!$A$5:$A$10)</f>
        <v>46309</v>
      </c>
      <c r="G15" s="16" t="n">
        <v>0</v>
      </c>
      <c r="H15" s="11" t="str">
        <f aca="false">IF(G15=1,"Terminé",IF(G15&gt;0,"En cours","À faire"))</f>
        <v>À faire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customFormat="false" ht="15" hidden="false" customHeight="false" outlineLevel="0" collapsed="false">
      <c r="A16" s="11" t="s">
        <v>44</v>
      </c>
      <c r="B16" s="12" t="s">
        <v>45</v>
      </c>
      <c r="C16" s="11" t="s">
        <v>46</v>
      </c>
      <c r="D16" s="13" t="n">
        <v>46309</v>
      </c>
      <c r="E16" s="14" t="n">
        <v>3</v>
      </c>
      <c r="F16" s="15" t="n">
        <f aca="false">WORKDAY(D16,E16-1,Paramètres!$A$5:$A$10)</f>
        <v>46311</v>
      </c>
      <c r="G16" s="16" t="n">
        <v>0</v>
      </c>
      <c r="H16" s="11" t="str">
        <f aca="false">IF(G16=1,"Terminé",IF(G16&gt;0,"En cours","À faire"))</f>
        <v>À faire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customFormat="false" ht="15" hidden="false" customHeight="false" outlineLevel="0" collapsed="false">
      <c r="A17" s="11" t="s">
        <v>47</v>
      </c>
      <c r="B17" s="12" t="s">
        <v>48</v>
      </c>
      <c r="C17" s="11" t="s">
        <v>49</v>
      </c>
      <c r="D17" s="13" t="n">
        <v>46314</v>
      </c>
      <c r="E17" s="14" t="n">
        <v>3</v>
      </c>
      <c r="F17" s="15" t="n">
        <f aca="false">WORKDAY(D17,E17-1,Paramètres!$A$5:$A$10)</f>
        <v>46316</v>
      </c>
      <c r="G17" s="16" t="n">
        <v>0</v>
      </c>
      <c r="H17" s="11" t="str">
        <f aca="false">IF(G17=1,"Terminé",IF(G17&gt;0,"En cours","À faire"))</f>
        <v>À faire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customFormat="false" ht="15" hidden="false" customHeight="false" outlineLevel="0" collapsed="false">
      <c r="A18" s="11" t="s">
        <v>50</v>
      </c>
      <c r="B18" s="12" t="s">
        <v>51</v>
      </c>
      <c r="C18" s="11" t="s">
        <v>49</v>
      </c>
      <c r="D18" s="13" t="n">
        <v>46316</v>
      </c>
      <c r="E18" s="14" t="n">
        <v>2</v>
      </c>
      <c r="F18" s="15" t="n">
        <f aca="false">WORKDAY(D18,E18-1,Paramètres!$A$5:$A$10)</f>
        <v>46317</v>
      </c>
      <c r="G18" s="16" t="n">
        <v>0</v>
      </c>
      <c r="H18" s="11" t="str">
        <f aca="false">IF(G18=1,"Terminé",IF(G18&gt;0,"En cours","À faire"))</f>
        <v>À faire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customFormat="false" ht="15" hidden="false" customHeight="false" outlineLevel="0" collapsed="false">
      <c r="A19" s="11" t="s">
        <v>52</v>
      </c>
      <c r="B19" s="12" t="s">
        <v>53</v>
      </c>
      <c r="C19" s="11" t="s">
        <v>49</v>
      </c>
      <c r="D19" s="13" t="n">
        <v>46318</v>
      </c>
      <c r="E19" s="14" t="n">
        <v>3</v>
      </c>
      <c r="F19" s="15" t="n">
        <f aca="false">WORKDAY(D19,E19-1,Paramètres!$A$5:$A$10)</f>
        <v>46322</v>
      </c>
      <c r="G19" s="16" t="n">
        <v>0</v>
      </c>
      <c r="H19" s="11" t="str">
        <f aca="false">IF(G19=1,"Terminé",IF(G19&gt;0,"En cours","À faire"))</f>
        <v>À faire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customFormat="false" ht="15" hidden="false" customHeight="false" outlineLevel="0" collapsed="false">
      <c r="A20" s="6" t="n">
        <v>3</v>
      </c>
      <c r="B20" s="7" t="s">
        <v>54</v>
      </c>
      <c r="C20" s="6"/>
      <c r="D20" s="8" t="n">
        <f aca="false">MIN(D21:D26)</f>
        <v>46314</v>
      </c>
      <c r="E20" s="6" t="n">
        <f aca="false">NETWORKDAYS(D20,F20,Paramètres!$A$5:$A$10)</f>
        <v>19</v>
      </c>
      <c r="F20" s="8" t="n">
        <f aca="false">MAX(F21:F26)</f>
        <v>46339</v>
      </c>
      <c r="G20" s="9" t="n">
        <f aca="false">SUMPRODUCT(E21:E26,G21:G26)/SUM(E21:E26)</f>
        <v>0</v>
      </c>
      <c r="H20" s="6" t="str">
        <f aca="false">IF(G20=1,"Terminé",IF(G20&gt;0,"En cours","À faire"))</f>
        <v>À faire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</row>
    <row r="21" customFormat="false" ht="15" hidden="false" customHeight="false" outlineLevel="0" collapsed="false">
      <c r="A21" s="11" t="s">
        <v>55</v>
      </c>
      <c r="B21" s="12" t="s">
        <v>56</v>
      </c>
      <c r="C21" s="11" t="s">
        <v>57</v>
      </c>
      <c r="D21" s="13" t="n">
        <v>46314</v>
      </c>
      <c r="E21" s="14" t="n">
        <v>3</v>
      </c>
      <c r="F21" s="15" t="n">
        <f aca="false">WORKDAY(D21,E21-1,Paramètres!$A$5:$A$10)</f>
        <v>46316</v>
      </c>
      <c r="G21" s="16" t="n">
        <v>0</v>
      </c>
      <c r="H21" s="11" t="str">
        <f aca="false">IF(G21=1,"Terminé",IF(G21&gt;0,"En cours","À faire"))</f>
        <v>À faire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customFormat="false" ht="15" hidden="false" customHeight="false" outlineLevel="0" collapsed="false">
      <c r="A22" s="11" t="s">
        <v>58</v>
      </c>
      <c r="B22" s="12" t="s">
        <v>59</v>
      </c>
      <c r="C22" s="11" t="s">
        <v>57</v>
      </c>
      <c r="D22" s="13" t="n">
        <v>46317</v>
      </c>
      <c r="E22" s="14" t="n">
        <v>14</v>
      </c>
      <c r="F22" s="15" t="n">
        <f aca="false">WORKDAY(D22,E22-1,Paramètres!$A$5:$A$10)</f>
        <v>46336</v>
      </c>
      <c r="G22" s="16" t="n">
        <v>0</v>
      </c>
      <c r="H22" s="11" t="str">
        <f aca="false">IF(G22=1,"Terminé",IF(G22&gt;0,"En cours","À faire"))</f>
        <v>À faire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customFormat="false" ht="15" hidden="false" customHeight="false" outlineLevel="0" collapsed="false">
      <c r="A23" s="11" t="s">
        <v>60</v>
      </c>
      <c r="B23" s="12" t="s">
        <v>61</v>
      </c>
      <c r="C23" s="11" t="s">
        <v>62</v>
      </c>
      <c r="D23" s="13" t="n">
        <v>46321</v>
      </c>
      <c r="E23" s="14" t="n">
        <v>5</v>
      </c>
      <c r="F23" s="15" t="n">
        <f aca="false">WORKDAY(D23,E23-1,Paramètres!$A$5:$A$10)</f>
        <v>46325</v>
      </c>
      <c r="G23" s="16" t="n">
        <v>0</v>
      </c>
      <c r="H23" s="11" t="str">
        <f aca="false">IF(G23=1,"Terminé",IF(G23&gt;0,"En cours","À faire"))</f>
        <v>À faire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customFormat="false" ht="15" hidden="false" customHeight="false" outlineLevel="0" collapsed="false">
      <c r="A24" s="11" t="s">
        <v>63</v>
      </c>
      <c r="B24" s="12" t="s">
        <v>64</v>
      </c>
      <c r="C24" s="11" t="s">
        <v>65</v>
      </c>
      <c r="D24" s="13" t="n">
        <v>46328</v>
      </c>
      <c r="E24" s="14" t="n">
        <v>4</v>
      </c>
      <c r="F24" s="15" t="n">
        <f aca="false">WORKDAY(D24,E24-1,Paramètres!$A$5:$A$10)</f>
        <v>46331</v>
      </c>
      <c r="G24" s="16" t="n">
        <v>0</v>
      </c>
      <c r="H24" s="11" t="str">
        <f aca="false">IF(G24=1,"Terminé",IF(G24&gt;0,"En cours","À faire"))</f>
        <v>À faire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customFormat="false" ht="15" hidden="false" customHeight="false" outlineLevel="0" collapsed="false">
      <c r="A25" s="11" t="s">
        <v>66</v>
      </c>
      <c r="B25" s="12" t="s">
        <v>67</v>
      </c>
      <c r="C25" s="11" t="s">
        <v>65</v>
      </c>
      <c r="D25" s="13" t="n">
        <v>46331</v>
      </c>
      <c r="E25" s="14" t="n">
        <v>2</v>
      </c>
      <c r="F25" s="15" t="n">
        <f aca="false">WORKDAY(D25,E25-1,Paramètres!$A$5:$A$10)</f>
        <v>46332</v>
      </c>
      <c r="G25" s="16" t="n">
        <v>0</v>
      </c>
      <c r="H25" s="11" t="str">
        <f aca="false">IF(G25=1,"Terminé",IF(G25&gt;0,"En cours","À faire"))</f>
        <v>À faire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customFormat="false" ht="15" hidden="false" customHeight="false" outlineLevel="0" collapsed="false">
      <c r="A26" s="11" t="s">
        <v>68</v>
      </c>
      <c r="B26" s="12" t="s">
        <v>69</v>
      </c>
      <c r="C26" s="11" t="s">
        <v>57</v>
      </c>
      <c r="D26" s="13" t="n">
        <v>46335</v>
      </c>
      <c r="E26" s="14" t="n">
        <v>4</v>
      </c>
      <c r="F26" s="15" t="n">
        <f aca="false">WORKDAY(D26,E26-1,Paramètres!$A$5:$A$10)</f>
        <v>46339</v>
      </c>
      <c r="G26" s="16" t="n">
        <v>0</v>
      </c>
      <c r="H26" s="11" t="str">
        <f aca="false">IF(G26=1,"Terminé",IF(G26&gt;0,"En cours","À faire"))</f>
        <v>À faire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customFormat="false" ht="15" hidden="false" customHeight="false" outlineLevel="0" collapsed="false">
      <c r="A27" s="6" t="n">
        <v>4</v>
      </c>
      <c r="B27" s="7" t="s">
        <v>70</v>
      </c>
      <c r="C27" s="6"/>
      <c r="D27" s="8" t="n">
        <f aca="false">MIN(D28:D32)</f>
        <v>46336</v>
      </c>
      <c r="E27" s="6" t="n">
        <f aca="false">NETWORKDAYS(D27,F27,Paramètres!$A$5:$A$10)</f>
        <v>8</v>
      </c>
      <c r="F27" s="8" t="n">
        <f aca="false">MAX(F28:F32)</f>
        <v>46346</v>
      </c>
      <c r="G27" s="9" t="n">
        <f aca="false">SUMPRODUCT(E28:E32,G28:G32)/SUM(E28:E32)</f>
        <v>0</v>
      </c>
      <c r="H27" s="6" t="str">
        <f aca="false">IF(G27=1,"Terminé",IF(G27&gt;0,"En cours","À faire"))</f>
        <v>À faire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</row>
    <row r="28" customFormat="false" ht="15" hidden="false" customHeight="false" outlineLevel="0" collapsed="false">
      <c r="A28" s="11" t="s">
        <v>71</v>
      </c>
      <c r="B28" s="12" t="s">
        <v>72</v>
      </c>
      <c r="C28" s="11" t="s">
        <v>73</v>
      </c>
      <c r="D28" s="13" t="n">
        <v>46336</v>
      </c>
      <c r="E28" s="14" t="n">
        <v>2</v>
      </c>
      <c r="F28" s="15" t="n">
        <f aca="false">WORKDAY(D28,E28-1,Paramètres!$A$5:$A$10)</f>
        <v>46338</v>
      </c>
      <c r="G28" s="16" t="n">
        <v>0</v>
      </c>
      <c r="H28" s="11" t="str">
        <f aca="false">IF(G28=1,"Terminé",IF(G28&gt;0,"En cours","À faire"))</f>
        <v>À faire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customFormat="false" ht="15" hidden="false" customHeight="false" outlineLevel="0" collapsed="false">
      <c r="A29" s="11" t="s">
        <v>74</v>
      </c>
      <c r="B29" s="12" t="s">
        <v>75</v>
      </c>
      <c r="C29" s="11" t="s">
        <v>76</v>
      </c>
      <c r="D29" s="13" t="n">
        <v>46338</v>
      </c>
      <c r="E29" s="14" t="n">
        <v>3</v>
      </c>
      <c r="F29" s="15" t="n">
        <f aca="false">WORKDAY(D29,E29-1,Paramètres!$A$5:$A$10)</f>
        <v>46342</v>
      </c>
      <c r="G29" s="16" t="n">
        <v>0</v>
      </c>
      <c r="H29" s="11" t="str">
        <f aca="false">IF(G29=1,"Terminé",IF(G29&gt;0,"En cours","À faire"))</f>
        <v>À faire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customFormat="false" ht="15" hidden="false" customHeight="false" outlineLevel="0" collapsed="false">
      <c r="A30" s="11" t="s">
        <v>77</v>
      </c>
      <c r="B30" s="12" t="s">
        <v>78</v>
      </c>
      <c r="C30" s="11" t="s">
        <v>79</v>
      </c>
      <c r="D30" s="13" t="n">
        <v>46342</v>
      </c>
      <c r="E30" s="14" t="n">
        <v>4</v>
      </c>
      <c r="F30" s="15" t="n">
        <f aca="false">WORKDAY(D30,E30-1,Paramètres!$A$5:$A$10)</f>
        <v>46345</v>
      </c>
      <c r="G30" s="16" t="n">
        <v>0</v>
      </c>
      <c r="H30" s="11" t="str">
        <f aca="false">IF(G30=1,"Terminé",IF(G30&gt;0,"En cours","À faire"))</f>
        <v>À faire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customFormat="false" ht="15" hidden="false" customHeight="false" outlineLevel="0" collapsed="false">
      <c r="A31" s="11" t="s">
        <v>80</v>
      </c>
      <c r="B31" s="12" t="s">
        <v>81</v>
      </c>
      <c r="C31" s="11" t="s">
        <v>82</v>
      </c>
      <c r="D31" s="13" t="n">
        <v>46342</v>
      </c>
      <c r="E31" s="14" t="n">
        <v>3</v>
      </c>
      <c r="F31" s="15" t="n">
        <f aca="false">WORKDAY(D31,E31-1,Paramètres!$A$5:$A$10)</f>
        <v>46344</v>
      </c>
      <c r="G31" s="16" t="n">
        <v>0</v>
      </c>
      <c r="H31" s="11" t="str">
        <f aca="false">IF(G31=1,"Terminé",IF(G31&gt;0,"En cours","À faire"))</f>
        <v>À faire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customFormat="false" ht="15" hidden="false" customHeight="false" outlineLevel="0" collapsed="false">
      <c r="A32" s="11" t="s">
        <v>83</v>
      </c>
      <c r="B32" s="12" t="s">
        <v>84</v>
      </c>
      <c r="C32" s="11" t="s">
        <v>85</v>
      </c>
      <c r="D32" s="13" t="n">
        <v>46345</v>
      </c>
      <c r="E32" s="14" t="n">
        <v>2</v>
      </c>
      <c r="F32" s="15" t="n">
        <f aca="false">WORKDAY(D32,E32-1,Paramètres!$A$5:$A$10)</f>
        <v>46346</v>
      </c>
      <c r="G32" s="16" t="n">
        <v>0</v>
      </c>
      <c r="H32" s="11" t="str">
        <f aca="false">IF(G32=1,"Terminé",IF(G32&gt;0,"En cours","À faire"))</f>
        <v>À faire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customFormat="false" ht="15" hidden="false" customHeight="false" outlineLevel="0" collapsed="false">
      <c r="A33" s="6" t="n">
        <v>5</v>
      </c>
      <c r="B33" s="7" t="s">
        <v>86</v>
      </c>
      <c r="C33" s="6"/>
      <c r="D33" s="8" t="n">
        <f aca="false">MIN(D34:D36)</f>
        <v>46346</v>
      </c>
      <c r="E33" s="6" t="n">
        <f aca="false">NETWORKDAYS(D33,F33,Paramètres!$A$5:$A$10)</f>
        <v>6</v>
      </c>
      <c r="F33" s="8" t="n">
        <f aca="false">MAX(F34:F36)</f>
        <v>46353</v>
      </c>
      <c r="G33" s="9" t="n">
        <f aca="false">SUMPRODUCT(E34:E36,G34:G36)/SUM(E34:E36)</f>
        <v>0</v>
      </c>
      <c r="H33" s="6" t="str">
        <f aca="false">IF(G33=1,"Terminé",IF(G33&gt;0,"En cours","À faire"))</f>
        <v>À faire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</row>
    <row r="34" customFormat="false" ht="15" hidden="false" customHeight="false" outlineLevel="0" collapsed="false">
      <c r="A34" s="11" t="s">
        <v>87</v>
      </c>
      <c r="B34" s="12" t="s">
        <v>88</v>
      </c>
      <c r="C34" s="11" t="s">
        <v>89</v>
      </c>
      <c r="D34" s="13" t="n">
        <v>46346</v>
      </c>
      <c r="E34" s="14" t="n">
        <v>4</v>
      </c>
      <c r="F34" s="15" t="n">
        <f aca="false">WORKDAY(D34,E34-1,Paramètres!$A$5:$A$10)</f>
        <v>46351</v>
      </c>
      <c r="G34" s="16" t="n">
        <v>0</v>
      </c>
      <c r="H34" s="11" t="str">
        <f aca="false">IF(G34=1,"Terminé",IF(G34&gt;0,"En cours","À faire"))</f>
        <v>À faire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customFormat="false" ht="15" hidden="false" customHeight="false" outlineLevel="0" collapsed="false">
      <c r="A35" s="11" t="s">
        <v>90</v>
      </c>
      <c r="B35" s="12" t="s">
        <v>91</v>
      </c>
      <c r="C35" s="11" t="s">
        <v>92</v>
      </c>
      <c r="D35" s="13" t="n">
        <v>46352</v>
      </c>
      <c r="E35" s="14" t="n">
        <v>2</v>
      </c>
      <c r="F35" s="15" t="n">
        <f aca="false">WORKDAY(D35,E35-1,Paramètres!$A$5:$A$10)</f>
        <v>46353</v>
      </c>
      <c r="G35" s="16" t="n">
        <v>0</v>
      </c>
      <c r="H35" s="11" t="str">
        <f aca="false">IF(G35=1,"Terminé",IF(G35&gt;0,"En cours","À faire"))</f>
        <v>À faire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customFormat="false" ht="15" hidden="false" customHeight="false" outlineLevel="0" collapsed="false">
      <c r="A36" s="11" t="s">
        <v>93</v>
      </c>
      <c r="B36" s="12" t="s">
        <v>94</v>
      </c>
      <c r="C36" s="11" t="s">
        <v>95</v>
      </c>
      <c r="D36" s="13" t="n">
        <v>46352</v>
      </c>
      <c r="E36" s="14" t="n">
        <v>1</v>
      </c>
      <c r="F36" s="15" t="n">
        <f aca="false">WORKDAY(D36,E36-1,Paramètres!$A$5:$A$10)</f>
        <v>46352</v>
      </c>
      <c r="G36" s="16" t="n">
        <v>0</v>
      </c>
      <c r="H36" s="11" t="str">
        <f aca="false">IF(G36=1,"Terminé",IF(G36&gt;0,"En cours","À faire"))</f>
        <v>À faire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customFormat="false" ht="15" hidden="false" customHeight="false" outlineLevel="0" collapsed="false">
      <c r="A37" s="6" t="n">
        <v>6</v>
      </c>
      <c r="B37" s="7" t="s">
        <v>96</v>
      </c>
      <c r="C37" s="6"/>
      <c r="D37" s="8" t="n">
        <f aca="false">MIN(D38:D40)</f>
        <v>46353</v>
      </c>
      <c r="E37" s="6" t="n">
        <f aca="false">NETWORKDAYS(D37,F37,Paramètres!$A$5:$A$10)</f>
        <v>6</v>
      </c>
      <c r="F37" s="8" t="n">
        <f aca="false">MAX(F38:F40)</f>
        <v>46360</v>
      </c>
      <c r="G37" s="9" t="n">
        <f aca="false">SUMPRODUCT(E38:E40,G38:G40)/SUM(E38:E40)</f>
        <v>0</v>
      </c>
      <c r="H37" s="6" t="str">
        <f aca="false">IF(G37=1,"Terminé",IF(G37&gt;0,"En cours","À faire"))</f>
        <v>À faire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</row>
    <row r="38" customFormat="false" ht="15" hidden="false" customHeight="false" outlineLevel="0" collapsed="false">
      <c r="A38" s="11" t="s">
        <v>97</v>
      </c>
      <c r="B38" s="12" t="s">
        <v>98</v>
      </c>
      <c r="C38" s="11" t="s">
        <v>99</v>
      </c>
      <c r="D38" s="13" t="n">
        <v>46353</v>
      </c>
      <c r="E38" s="14" t="n">
        <v>3</v>
      </c>
      <c r="F38" s="15" t="n">
        <f aca="false">WORKDAY(D38,E38-1,Paramètres!$A$5:$A$10)</f>
        <v>46357</v>
      </c>
      <c r="G38" s="16" t="n">
        <v>0</v>
      </c>
      <c r="H38" s="11" t="str">
        <f aca="false">IF(G38=1,"Terminé",IF(G38&gt;0,"En cours","À faire"))</f>
        <v>À faire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customFormat="false" ht="15" hidden="false" customHeight="false" outlineLevel="0" collapsed="false">
      <c r="A39" s="11" t="s">
        <v>100</v>
      </c>
      <c r="B39" s="12" t="s">
        <v>101</v>
      </c>
      <c r="C39" s="11" t="s">
        <v>23</v>
      </c>
      <c r="D39" s="13" t="n">
        <v>46356</v>
      </c>
      <c r="E39" s="14" t="n">
        <v>3</v>
      </c>
      <c r="F39" s="15" t="n">
        <f aca="false">WORKDAY(D39,E39-1,Paramètres!$A$5:$A$10)</f>
        <v>46358</v>
      </c>
      <c r="G39" s="16" t="n">
        <v>0</v>
      </c>
      <c r="H39" s="11" t="str">
        <f aca="false">IF(G39=1,"Terminé",IF(G39&gt;0,"En cours","À faire"))</f>
        <v>À faire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customFormat="false" ht="15" hidden="false" customHeight="false" outlineLevel="0" collapsed="false">
      <c r="A40" s="11" t="s">
        <v>102</v>
      </c>
      <c r="B40" s="12" t="s">
        <v>103</v>
      </c>
      <c r="C40" s="11" t="s">
        <v>23</v>
      </c>
      <c r="D40" s="13" t="n">
        <v>46358</v>
      </c>
      <c r="E40" s="14" t="n">
        <v>3</v>
      </c>
      <c r="F40" s="15" t="n">
        <f aca="false">WORKDAY(D40,E40-1,Paramètres!$A$5:$A$10)</f>
        <v>46360</v>
      </c>
      <c r="G40" s="16" t="n">
        <v>0</v>
      </c>
      <c r="H40" s="11" t="str">
        <f aca="false">IF(G40=1,"Terminé",IF(G40&gt;0,"En cours","À faire"))</f>
        <v>À faire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2" customFormat="false" ht="15" hidden="false" customHeight="false" outlineLevel="0" collapsed="false">
      <c r="B42" s="18" t="s">
        <v>104</v>
      </c>
    </row>
    <row r="43" customFormat="false" ht="15" hidden="false" customHeight="false" outlineLevel="0" collapsed="false">
      <c r="B43" s="19" t="s">
        <v>105</v>
      </c>
      <c r="C43" s="20"/>
    </row>
    <row r="44" customFormat="false" ht="15" hidden="false" customHeight="false" outlineLevel="0" collapsed="false">
      <c r="B44" s="19" t="s">
        <v>106</v>
      </c>
      <c r="C44" s="21"/>
    </row>
    <row r="45" customFormat="false" ht="15" hidden="false" customHeight="false" outlineLevel="0" collapsed="false">
      <c r="B45" s="19" t="s">
        <v>107</v>
      </c>
      <c r="C45" s="22"/>
    </row>
    <row r="46" customFormat="false" ht="15" hidden="false" customHeight="false" outlineLevel="0" collapsed="false">
      <c r="B46" s="19" t="s">
        <v>108</v>
      </c>
      <c r="C46" s="23"/>
    </row>
  </sheetData>
  <mergeCells count="10"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</mergeCells>
  <conditionalFormatting sqref="I5:BF40">
    <cfRule type="expression" priority="2" aboveAverage="0" equalAverage="0" bottom="0" percent="0" rank="0" text="" dxfId="0">
      <formula>COUNTIF(Paramètres!$A$5:$A$10,I$4)&gt;0</formula>
    </cfRule>
    <cfRule type="expression" priority="3" aboveAverage="0" equalAverage="0" bottom="0" percent="0" rank="0" text="" dxfId="1">
      <formula>AND(AND(I$4&gt;=$D5,I$4&lt;=$F5),ISNUMBER($A5))</formula>
    </cfRule>
    <cfRule type="expression" priority="4" aboveAverage="0" equalAverage="0" bottom="0" percent="0" rank="0" text="" dxfId="2">
      <formula>AND(AND(I$4&gt;=$D5,I$4&lt;=$F5),$G5=1)</formula>
    </cfRule>
    <cfRule type="expression" priority="5" aboveAverage="0" equalAverage="0" bottom="0" percent="0" rank="0" text="" dxfId="3">
      <formula>AND(I$4&gt;=$D5,I$4&lt;=$F5)</formula>
    </cfRule>
  </conditionalFormatting>
  <conditionalFormatting sqref="H5:H40">
    <cfRule type="expression" priority="6" aboveAverage="0" equalAverage="0" bottom="0" percent="0" rank="0" text="" dxfId="4">
      <formula>$H5="Terminé"</formula>
    </cfRule>
    <cfRule type="expression" priority="7" aboveAverage="0" equalAverage="0" bottom="0" percent="0" rank="0" text="" dxfId="5">
      <formula>$H5="En cours"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94</v>
      </c>
    </row>
    <row r="3" customFormat="false" ht="15" hidden="false" customHeight="false" outlineLevel="0" collapsed="false">
      <c r="A3" s="24" t="s">
        <v>109</v>
      </c>
      <c r="B3" s="25" t="n">
        <f aca="false">SUMPRODUCT(--ISTEXT(Planning!$A$5:$A$40))</f>
        <v>30</v>
      </c>
    </row>
    <row r="4" customFormat="false" ht="15" hidden="false" customHeight="false" outlineLevel="0" collapsed="false">
      <c r="A4" s="24" t="s">
        <v>110</v>
      </c>
      <c r="B4" s="25" t="n">
        <f aca="false">COUNTIFS(Planning!$A$5:$A$40,"*.*",Planning!$H$5:$H$40,"Terminé")</f>
        <v>4</v>
      </c>
    </row>
    <row r="5" customFormat="false" ht="15" hidden="false" customHeight="false" outlineLevel="0" collapsed="false">
      <c r="A5" s="24" t="s">
        <v>111</v>
      </c>
      <c r="B5" s="25" t="n">
        <f aca="false">COUNTIFS(Planning!$A$5:$A$40,"*.*",Planning!$H$5:$H$40,"En cours")</f>
        <v>0</v>
      </c>
    </row>
    <row r="6" customFormat="false" ht="15" hidden="false" customHeight="false" outlineLevel="0" collapsed="false">
      <c r="A6" s="24" t="s">
        <v>112</v>
      </c>
      <c r="B6" s="25" t="n">
        <f aca="false">COUNTIFS(Planning!$A$5:$A$40,"*.*",Planning!$H$5:$H$40,"À faire")</f>
        <v>26</v>
      </c>
    </row>
    <row r="7" customFormat="false" ht="15" hidden="false" customHeight="false" outlineLevel="0" collapsed="false">
      <c r="A7" s="24" t="s">
        <v>113</v>
      </c>
      <c r="B7" s="25" t="n">
        <f aca="true">SUMPRODUCT(ISTEXT(Planning!$A$5:$A$40)*(Planning!$F$5:$F$40&lt;TODAY())*(Planning!$G$5:$G$40&lt;1))</f>
        <v>0</v>
      </c>
    </row>
    <row r="8" customFormat="false" ht="15" hidden="false" customHeight="false" outlineLevel="0" collapsed="false">
      <c r="A8" s="24" t="s">
        <v>114</v>
      </c>
      <c r="B8" s="26" t="n">
        <f aca="false">SUMPRODUCT(ISTEXT(Planning!$A$5:$A$40)*Planning!$E$5:$E$40*Planning!$G$5:$G$40)/SUMPRODUCT(ISTEXT(Planning!$A$5:$A$40)*Planning!$E$5:$E$40)</f>
        <v>0.0851063829787234</v>
      </c>
    </row>
    <row r="9" customFormat="false" ht="15" hidden="false" customHeight="false" outlineLevel="0" collapsed="false">
      <c r="A9" s="24" t="s">
        <v>115</v>
      </c>
      <c r="B9" s="27" t="n">
        <f aca="false">MAX(Planning!$F$5:$F$40)</f>
        <v>46360</v>
      </c>
    </row>
    <row r="10" customFormat="false" ht="15" hidden="false" customHeight="false" outlineLevel="0" collapsed="false">
      <c r="A10" s="24" t="s">
        <v>116</v>
      </c>
      <c r="B10" s="2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118</v>
      </c>
    </row>
    <row r="3" customFormat="false" ht="15" hidden="false" customHeight="false" outlineLevel="0" collapsed="false">
      <c r="A3" s="18" t="s">
        <v>119</v>
      </c>
    </row>
    <row r="4" customFormat="false" ht="15" hidden="false" customHeight="false" outlineLevel="0" collapsed="false">
      <c r="A4" s="29" t="s">
        <v>120</v>
      </c>
      <c r="B4" s="29" t="s">
        <v>121</v>
      </c>
    </row>
    <row r="5" customFormat="false" ht="15" hidden="false" customHeight="false" outlineLevel="0" collapsed="false">
      <c r="A5" s="30" t="n">
        <v>46327</v>
      </c>
      <c r="B5" s="31" t="s">
        <v>122</v>
      </c>
    </row>
    <row r="6" customFormat="false" ht="15" hidden="false" customHeight="false" outlineLevel="0" collapsed="false">
      <c r="A6" s="30" t="n">
        <v>46337</v>
      </c>
      <c r="B6" s="31" t="s">
        <v>123</v>
      </c>
    </row>
    <row r="7" customFormat="false" ht="15" hidden="false" customHeight="false" outlineLevel="0" collapsed="false">
      <c r="A7" s="30" t="n">
        <v>46381</v>
      </c>
      <c r="B7" s="3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2026-09-24T09:36:28Z</dcterms:created>
  <dc:creator>openpyxl</dc:creator>
  <dc:description/>
  <dc:language>en-US</dc:language>
  <cp:lastModifiedBy/>
  <dcterms:modified xsi:type="dcterms:W3CDTF">2026-09-24T09:36:28Z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